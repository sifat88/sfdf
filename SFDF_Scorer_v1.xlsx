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Scorer" sheetId="2" state="visible" r:id="rId4"/>
    <sheet name="Calc" sheetId="3" state="hidden" r:id="rId5"/>
    <sheet name="Brief" sheetId="4" state="visible" r:id="rId6"/>
    <sheet name="Cas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<sst xmlns="http://schemas.openxmlformats.org/spreadsheetml/2006/main" count="269" uniqueCount="191">
  <si>
    <t xml:space="preserve">SFDF — Strategic Financing Decision Framework</t>
  </si>
  <si>
    <t xml:space="preserve">Excel Scorer v1.0 — Bootstrap vs. Equity Decision Tool</t>
  </si>
  <si>
    <t xml:space="preserve">How to use this scorer</t>
  </si>
  <si>
    <t xml:space="preserve">Step 1</t>
  </si>
  <si>
    <t xml:space="preserve">Open the 'Scorer' tab. You will see 15 factors organised in 4 dimensions.</t>
  </si>
  <si>
    <t xml:space="preserve">Step 2</t>
  </si>
  <si>
    <t xml:space="preserve">For each factor, enter a score from 1 to 5 in the BLUE column. Anchor descriptions are shown next to each scale.</t>
  </si>
  <si>
    <t xml:space="preserve">Step 3</t>
  </si>
  <si>
    <t xml:space="preserve">The Net Score and Recommendation Zone update automatically at the top of the Scorer tab.</t>
  </si>
  <si>
    <t xml:space="preserve">Step 4</t>
  </si>
  <si>
    <t xml:space="preserve">Open the 'Brief' tab to see your one-page Decision Brief, including top drivers, watch-outs, and suggested next actions.</t>
  </si>
  <si>
    <t xml:space="preserve">Step 5</t>
  </si>
  <si>
    <t xml:space="preserve">Open the 'Cases' tab to see three pre-loaded worked examples (Bootstrapped SaaS, Capital-intensive Deep-tech, Ambiguous Marketplace) for calibration.</t>
  </si>
  <si>
    <t xml:space="preserve">Reading the output</t>
  </si>
  <si>
    <t xml:space="preserve">Net Score range</t>
  </si>
  <si>
    <t xml:space="preserve">−2.0 (Strong Bootstrap) to +2.0 (Strong Equity)</t>
  </si>
  <si>
    <t xml:space="preserve">Strong Bootstrap</t>
  </si>
  <si>
    <t xml:space="preserve">Net Score ≤ −1.0</t>
  </si>
  <si>
    <t xml:space="preserve">Bootstrap-leaning</t>
  </si>
  <si>
    <t xml:space="preserve">−1.0 &lt; Net Score ≤ −0.2</t>
  </si>
  <si>
    <t xml:space="preserve">Ambiguous</t>
  </si>
  <si>
    <t xml:space="preserve">−0.2 &lt; Net Score &lt; +0.2  (genuine ambiguity — model both paths)</t>
  </si>
  <si>
    <t xml:space="preserve">Equity-leaning</t>
  </si>
  <si>
    <t xml:space="preserve">+0.2 ≤ Net Score &lt; +1.0</t>
  </si>
  <si>
    <t xml:space="preserve">Strong Equity</t>
  </si>
  <si>
    <t xml:space="preserve">Net Score ≥ +1.0</t>
  </si>
  <si>
    <t xml:space="preserve">Important caveats</t>
  </si>
  <si>
    <t xml:space="preserve">•</t>
  </si>
  <si>
    <t xml:space="preserve">The SFDF is a directional decision-support tool, NOT a prescriptive algorithm.</t>
  </si>
  <si>
    <t xml:space="preserve">The output is a recommended ZONE, not a verdict. Reason through the watch-outs.</t>
  </si>
  <si>
    <t xml:space="preserve">Final decisions should be made with an advisor, not from the score alone.</t>
  </si>
  <si>
    <t xml:space="preserve">Weights are derived from the SLR and may be revised based on validation feedback.</t>
  </si>
  <si>
    <t xml:space="preserve">Theoretical anchors</t>
  </si>
  <si>
    <t xml:space="preserve">Agency Theory</t>
  </si>
  <si>
    <t xml:space="preserve">Jensen &amp; Meckling (1976) — control / dilution tensions when raising equity</t>
  </si>
  <si>
    <t xml:space="preserve">Resource Dependence</t>
  </si>
  <si>
    <t xml:space="preserve">Pfeffer &amp; Salancik (1978) — why founders rationally accept dilution for resource access</t>
  </si>
  <si>
    <t xml:space="preserve">Founder choice</t>
  </si>
  <si>
    <t xml:space="preserve">Wasserman (2017) — risk tolerance, control preference, growth ambition</t>
  </si>
  <si>
    <t xml:space="preserve">VC contracting</t>
  </si>
  <si>
    <t xml:space="preserve">Kaplan &amp; Strömberg (2003) — empirical anchors for venture and market factors</t>
  </si>
  <si>
    <t xml:space="preserve">VC value-add</t>
  </si>
  <si>
    <t xml:space="preserve">Hellmann &amp; Puri (2002) — beyond capital: networks, hires, governance</t>
  </si>
  <si>
    <t xml:space="preserve">Bootstrapping</t>
  </si>
  <si>
    <t xml:space="preserve">Winborg &amp; Landström (2001) — financial bootstrapping techniques</t>
  </si>
  <si>
    <t xml:space="preserve">DSR / FEDS</t>
  </si>
  <si>
    <t xml:space="preserve">Peffers et al. (2007); Venable et al. (2016) — methodology and evaluation</t>
  </si>
  <si>
    <t xml:space="preserve">SFDF Scorer — Enter your scores in the BLUE column (D)</t>
  </si>
  <si>
    <t xml:space="preserve">Net Score:</t>
  </si>
  <si>
    <t xml:space="preserve">Recommendation Zone:</t>
  </si>
  <si>
    <t xml:space="preserve">Total factors scored:</t>
  </si>
  <si>
    <t xml:space="preserve">/ 15 (score every factor for a valid result)</t>
  </si>
  <si>
    <t xml:space="preserve">#</t>
  </si>
  <si>
    <t xml:space="preserve">Factor</t>
  </si>
  <si>
    <t xml:space="preserve">Direction</t>
  </si>
  <si>
    <t xml:space="preserve">Your Score (1–5)</t>
  </si>
  <si>
    <t xml:space="preserve">Anchor (1)</t>
  </si>
  <si>
    <t xml:space="preserve">Anchor (5)</t>
  </si>
  <si>
    <t xml:space="preserve">Citation</t>
  </si>
  <si>
    <t xml:space="preserve">DIMENSION A — Founder &amp; Team (weight 0.25)</t>
  </si>
  <si>
    <t xml:space="preserve">A1</t>
  </si>
  <si>
    <t xml:space="preserve">Risk tolerance</t>
  </si>
  <si>
    <t xml:space="preserve">Higher → B</t>
  </si>
  <si>
    <t xml:space="preserve">Very low</t>
  </si>
  <si>
    <t xml:space="preserve">Very high</t>
  </si>
  <si>
    <t xml:space="preserve">Wasserman (2017)</t>
  </si>
  <si>
    <t xml:space="preserve">A2</t>
  </si>
  <si>
    <t xml:space="preserve">Control preference</t>
  </si>
  <si>
    <t xml:space="preserve">Growth-first</t>
  </si>
  <si>
    <t xml:space="preserve">Autonomy-first</t>
  </si>
  <si>
    <t xml:space="preserve">A3</t>
  </si>
  <si>
    <t xml:space="preserve">Domain experience</t>
  </si>
  <si>
    <t xml:space="preserve">First-time founder</t>
  </si>
  <si>
    <t xml:space="preserve">Multiple prior exits</t>
  </si>
  <si>
    <t xml:space="preserve">Kaplan &amp; Strömberg (2003)</t>
  </si>
  <si>
    <t xml:space="preserve">A4</t>
  </si>
  <si>
    <t xml:space="preserve">Personal runway</t>
  </si>
  <si>
    <t xml:space="preserve">&lt;3 months</t>
  </si>
  <si>
    <t xml:space="preserve">24+ months</t>
  </si>
  <si>
    <t xml:space="preserve">Bhidé (2000)</t>
  </si>
  <si>
    <t xml:space="preserve">DIMENSION B — Venture (weight 0.30)</t>
  </si>
  <si>
    <t xml:space="preserve">B1</t>
  </si>
  <si>
    <t xml:space="preserve">Capital intensity</t>
  </si>
  <si>
    <t xml:space="preserve">Higher → E</t>
  </si>
  <si>
    <t xml:space="preserve">B2</t>
  </si>
  <si>
    <t xml:space="preserve">Time-to-revenue</t>
  </si>
  <si>
    <t xml:space="preserve">Hellmann &amp; Puri (2002)</t>
  </si>
  <si>
    <t xml:space="preserve">B3</t>
  </si>
  <si>
    <t xml:space="preserve">Existing traction</t>
  </si>
  <si>
    <t xml:space="preserve">Idea only</t>
  </si>
  <si>
    <t xml:space="preserve">Scaling revenue</t>
  </si>
  <si>
    <t xml:space="preserve">B4</t>
  </si>
  <si>
    <t xml:space="preserve">Defensibility / IP</t>
  </si>
  <si>
    <t xml:space="preserve">No moat</t>
  </si>
  <si>
    <t xml:space="preserve">Strong moat</t>
  </si>
  <si>
    <t xml:space="preserve">DIMENSION C — Market (weight 0.20)</t>
  </si>
  <si>
    <t xml:space="preserve">C1</t>
  </si>
  <si>
    <t xml:space="preserve">Market timing pressure</t>
  </si>
  <si>
    <t xml:space="preserve">Patient market</t>
  </si>
  <si>
    <t xml:space="preserve">Winner-takes-most</t>
  </si>
  <si>
    <t xml:space="preserve">C2</t>
  </si>
  <si>
    <t xml:space="preserve">Competitive density</t>
  </si>
  <si>
    <t xml:space="preserve">Greenfield</t>
  </si>
  <si>
    <t xml:space="preserve">Heavily contested</t>
  </si>
  <si>
    <t xml:space="preserve">C3</t>
  </si>
  <si>
    <t xml:space="preserve">Customer acquisition cost</t>
  </si>
  <si>
    <t xml:space="preserve">Organic / low CAC</t>
  </si>
  <si>
    <t xml:space="preserve">Paid / high CAC</t>
  </si>
  <si>
    <t xml:space="preserve">SLR synthesis</t>
  </si>
  <si>
    <t xml:space="preserve">DIMENSION D — Strategic (weight 0.25)</t>
  </si>
  <si>
    <t xml:space="preserve">D1</t>
  </si>
  <si>
    <t xml:space="preserve">Exit horizon</t>
  </si>
  <si>
    <t xml:space="preserve">Long / no exit</t>
  </si>
  <si>
    <t xml:space="preserve">Fast exit (3–5 yrs)</t>
  </si>
  <si>
    <t xml:space="preserve">D2</t>
  </si>
  <si>
    <t xml:space="preserve">Growth ambition</t>
  </si>
  <si>
    <t xml:space="preserve">Lifestyle</t>
  </si>
  <si>
    <t xml:space="preserve">Hypergrowth</t>
  </si>
  <si>
    <t xml:space="preserve">D3</t>
  </si>
  <si>
    <t xml:space="preserve">Need for VC value-add</t>
  </si>
  <si>
    <t xml:space="preserve">Capital not needed</t>
  </si>
  <si>
    <t xml:space="preserve">Critical for hires/network</t>
  </si>
  <si>
    <t xml:space="preserve">D4</t>
  </si>
  <si>
    <t xml:space="preserve">Optionality preference</t>
  </si>
  <si>
    <t xml:space="preserve">Commit to one path</t>
  </si>
  <si>
    <t xml:space="preserve">Preserve future options</t>
  </si>
  <si>
    <t xml:space="preserve">Winborg &amp; Landström (2001)</t>
  </si>
  <si>
    <t xml:space="preserve">Tip: a score of 3 is neutral and contributes nothing. Scores of 1 and 5 contribute the most.</t>
  </si>
  <si>
    <t xml:space="preserve">SFDF Calculation — Do not edit</t>
  </si>
  <si>
    <t xml:space="preserve">Score</t>
  </si>
  <si>
    <t xml:space="preserve">Centered (Score-3)</t>
  </si>
  <si>
    <t xml:space="preserve">Dimension</t>
  </si>
  <si>
    <t xml:space="preserve">Contribution</t>
  </si>
  <si>
    <t xml:space="preserve">Aligned (× sign of net)</t>
  </si>
  <si>
    <t xml:space="preserve">B</t>
  </si>
  <si>
    <t xml:space="preserve">A</t>
  </si>
  <si>
    <t xml:space="preserve">E</t>
  </si>
  <si>
    <t xml:space="preserve">C</t>
  </si>
  <si>
    <t xml:space="preserve">D</t>
  </si>
  <si>
    <t xml:space="preserve">Dim A avg contribution:</t>
  </si>
  <si>
    <t xml:space="preserve">Dim B avg contribution:</t>
  </si>
  <si>
    <t xml:space="preserve">Dim C avg contribution:</t>
  </si>
  <si>
    <t xml:space="preserve">NET SCORE:</t>
  </si>
  <si>
    <t xml:space="preserve">Dim D avg contribution:</t>
  </si>
  <si>
    <t xml:space="preserve">Weights:</t>
  </si>
  <si>
    <t xml:space="preserve">Dim A</t>
  </si>
  <si>
    <t xml:space="preserve">Dim B</t>
  </si>
  <si>
    <t xml:space="preserve">Dim C</t>
  </si>
  <si>
    <t xml:space="preserve">Dim D</t>
  </si>
  <si>
    <t xml:space="preserve">Top 3 Drivers:</t>
  </si>
  <si>
    <t xml:space="preserve">Top 2 Watch-outs:</t>
  </si>
  <si>
    <t xml:space="preserve">DECISION BRIEF</t>
  </si>
  <si>
    <t xml:space="preserve">Generated by the Strategic Financing Decision Framework (SFDF v1.0)</t>
  </si>
  <si>
    <t xml:space="preserve">Recommendation Zone</t>
  </si>
  <si>
    <t xml:space="preserve">Net Score</t>
  </si>
  <si>
    <t xml:space="preserve">Range</t>
  </si>
  <si>
    <t xml:space="preserve">−2.0 (Strong Bootstrap) ↔ +2.0 (Strong Equity)</t>
  </si>
  <si>
    <t xml:space="preserve">TOP 3 DRIVERS</t>
  </si>
  <si>
    <t xml:space="preserve">These three factors are pulling your decision most strongly toward the recommended zone.</t>
  </si>
  <si>
    <t xml:space="preserve">Rank</t>
  </si>
  <si>
    <t xml:space="preserve">Factor ID</t>
  </si>
  <si>
    <t xml:space="preserve">TOP 2 WATCH-OUTS</t>
  </si>
  <si>
    <t xml:space="preserve">These factors are most in tension with the recommendation. They are the strongest reasons to reconsider.</t>
  </si>
  <si>
    <t xml:space="preserve">Contribution (negative = opposing)</t>
  </si>
  <si>
    <t xml:space="preserve">SUGGESTED NEXT ACTIONS</t>
  </si>
  <si>
    <t xml:space="preserve">The SFDF is a directional decision-support tool, not a prescriptive algorithm. Final decisions belong with the founder and their advisors.</t>
  </si>
  <si>
    <t xml:space="preserve">Worked Cases — Calibration &amp; Reference</t>
  </si>
  <si>
    <t xml:space="preserve">Reference scores for the three calibration cases. To run a case, copy the scores into the Scorer tab manually.</t>
  </si>
  <si>
    <t xml:space="preserve">Case 1: Bootstrapped SaaS</t>
  </si>
  <si>
    <t xml:space="preserve">Case 2: Capital-Intensive Deep-Tech</t>
  </si>
  <si>
    <t xml:space="preserve">Case 3: Ambiguous Marketplace</t>
  </si>
  <si>
    <t xml:space="preserve">A1 Risk tolerance</t>
  </si>
  <si>
    <t xml:space="preserve">A2 Control preference</t>
  </si>
  <si>
    <t xml:space="preserve">A3 Domain experience</t>
  </si>
  <si>
    <t xml:space="preserve">A4 Personal runway</t>
  </si>
  <si>
    <t xml:space="preserve">B1 Capital intensity</t>
  </si>
  <si>
    <t xml:space="preserve">B2 Time-to-revenue</t>
  </si>
  <si>
    <t xml:space="preserve">B3 Existing traction</t>
  </si>
  <si>
    <t xml:space="preserve">B4 Defensibility / IP</t>
  </si>
  <si>
    <t xml:space="preserve">C1 Market timing</t>
  </si>
  <si>
    <t xml:space="preserve">C2 Competitive density</t>
  </si>
  <si>
    <t xml:space="preserve">C3 CAC trajectory</t>
  </si>
  <si>
    <t xml:space="preserve">D1 Exit horizon</t>
  </si>
  <si>
    <t xml:space="preserve">D2 Growth ambition</t>
  </si>
  <si>
    <t xml:space="preserve">D3 VC value-add need</t>
  </si>
  <si>
    <t xml:space="preserve">D4 Optionality preference</t>
  </si>
  <si>
    <t xml:space="preserve">Expected Net Score:</t>
  </si>
  <si>
    <t xml:space="preserve">≈ −1.22</t>
  </si>
  <si>
    <t xml:space="preserve">≈ +1.43</t>
  </si>
  <si>
    <t xml:space="preserve">≈ +0.70</t>
  </si>
  <si>
    <t xml:space="preserve">Expected Zone: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</si>
</sst>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General"/>
    <numFmt numFmtId="167" formatCode="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Calibri"/>
      <family val="0"/>
      <charset val="1"/>
    </font>
    <font>
      <i val="true"/>
      <sz val="12"/>
      <color rgb="FF555555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3"/>
      <color rgb="FF2E75B6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4"/>
      <color rgb="FF2E75B6"/>
      <name val="Calibri"/>
      <family val="0"/>
      <charset val="1"/>
    </font>
    <font>
      <i val="true"/>
      <sz val="10"/>
      <color rgb="FF77777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0070C0"/>
      <name val="Calibri"/>
      <family val="0"/>
      <charset val="1"/>
    </font>
    <font>
      <b val="true"/>
      <sz val="12"/>
      <color rgb="FF0000FF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sz val="9"/>
      <color rgb="FF777777"/>
      <name val="Calibri"/>
      <family val="0"/>
      <charset val="1"/>
    </font>
    <font>
      <b val="true"/>
      <sz val="10"/>
      <color rgb="FF2E75B6"/>
      <name val="Calibri"/>
      <family val="0"/>
      <charset val="1"/>
    </font>
    <font>
      <b val="true"/>
      <sz val="12"/>
      <color rgb="FF55555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4"/>
      <color rgb="FF1F4E79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b val="true"/>
      <sz val="22"/>
      <color rgb="FF1F4E79"/>
      <name val="Calibri"/>
      <family val="0"/>
      <charset val="1"/>
    </font>
    <font>
      <i val="true"/>
      <sz val="11"/>
      <color rgb="FF555555"/>
      <name val="Calibri"/>
      <family val="0"/>
      <charset val="1"/>
    </font>
    <font>
      <b val="true"/>
      <sz val="20"/>
      <color rgb="FF1F4E79"/>
      <name val="Calibri"/>
      <family val="0"/>
      <charset val="1"/>
    </font>
    <font>
      <b val="true"/>
      <sz val="11"/>
      <color rgb="FF555555"/>
      <name val="Calibri"/>
      <family val="0"/>
      <charset val="1"/>
    </font>
    <font>
      <sz val="11"/>
      <color rgb="FF555555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b val="true"/>
      <sz val="11"/>
      <color rgb="FF2E75B6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5E8F0"/>
        <bgColor rgb="FFE0F0E0"/>
      </patternFill>
    </fill>
    <fill>
      <patternFill patternType="solid">
        <fgColor rgb="FFFFFFCC"/>
        <bgColor rgb="FFFFF4D5"/>
      </patternFill>
    </fill>
    <fill>
      <patternFill patternType="solid">
        <fgColor rgb="FFE0F0E0"/>
        <bgColor rgb="FFD5E8F0"/>
      </patternFill>
    </fill>
    <fill>
      <patternFill patternType="solid">
        <fgColor rgb="FFFFF4D5"/>
        <bgColor rgb="FFFFFFCC"/>
      </patternFill>
    </fill>
    <fill>
      <patternFill patternType="solid">
        <fgColor rgb="FFF0E0F0"/>
        <bgColor rgb="FFF5D5D5"/>
      </patternFill>
    </fill>
    <fill>
      <patternFill patternType="solid">
        <fgColor rgb="FF555555"/>
        <bgColor rgb="FF666666"/>
      </patternFill>
    </fill>
    <fill>
      <patternFill patternType="solid">
        <fgColor rgb="FFC00000"/>
        <bgColor rgb="FF800000"/>
      </patternFill>
    </fill>
    <fill>
      <patternFill patternType="solid">
        <fgColor rgb="FFF5D5D5"/>
        <bgColor rgb="FFF0E0F0"/>
      </patternFill>
    </fill>
    <fill>
      <patternFill patternType="solid">
        <fgColor rgb="FF2E75B6"/>
        <bgColor rgb="FF007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777777"/>
      <rgbColor rgb="FF9999FF"/>
      <rgbColor rgb="FF993366"/>
      <rgbColor rgb="FFFFFFCC"/>
      <rgbColor rgb="FFD5E8F0"/>
      <rgbColor rgb="FF660066"/>
      <rgbColor rgb="FFFF8080"/>
      <rgbColor rgb="FF0070C0"/>
      <rgbColor rgb="FFF0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F0E0"/>
      <rgbColor rgb="FFFFF4D5"/>
      <rgbColor rgb="FF99CCFF"/>
      <rgbColor rgb="FFFF99CC"/>
      <rgbColor rgb="FFCC99FF"/>
      <rgbColor rgb="FFF5D5D5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25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16.15" hidden="false" customHeight="false" outlineLevel="0" collapsed="false">
      <c r="A5" s="5" t="s">
        <v>2</v>
      </c>
    </row>
    <row r="6" customFormat="false" ht="15" hidden="false" customHeight="false" outlineLevel="0" collapsed="false">
      <c r="A6" s="3"/>
      <c r="B6" s="4"/>
    </row>
    <row r="7" customFormat="false" ht="15" hidden="false" customHeight="false" outlineLevel="0" collapsed="false">
      <c r="A7" s="3" t="s">
        <v>3</v>
      </c>
      <c r="B7" s="4" t="s">
        <v>4</v>
      </c>
    </row>
    <row r="8" customFormat="false" ht="28.35" hidden="false" customHeight="false" outlineLevel="0" collapsed="false">
      <c r="A8" s="3" t="s">
        <v>5</v>
      </c>
      <c r="B8" s="4" t="s">
        <v>6</v>
      </c>
    </row>
    <row r="9" customFormat="false" ht="15" hidden="false" customHeight="false" outlineLevel="0" collapsed="false">
      <c r="A9" s="3" t="s">
        <v>7</v>
      </c>
      <c r="B9" s="4" t="s">
        <v>8</v>
      </c>
    </row>
    <row r="10" customFormat="false" ht="28.35" hidden="false" customHeight="false" outlineLevel="0" collapsed="false">
      <c r="A10" s="3" t="s">
        <v>9</v>
      </c>
      <c r="B10" s="4" t="s">
        <v>10</v>
      </c>
    </row>
    <row r="11" customFormat="false" ht="28.35" hidden="false" customHeight="false" outlineLevel="0" collapsed="false">
      <c r="A11" s="3" t="s">
        <v>11</v>
      </c>
      <c r="B11" s="4" t="s">
        <v>12</v>
      </c>
    </row>
    <row r="12" customFormat="false" ht="15" hidden="false" customHeight="false" outlineLevel="0" collapsed="false">
      <c r="A12" s="3"/>
      <c r="B12" s="4"/>
    </row>
    <row r="13" customFormat="false" ht="16.15" hidden="false" customHeight="false" outlineLevel="0" collapsed="false">
      <c r="A13" s="5" t="s">
        <v>13</v>
      </c>
    </row>
    <row r="14" customFormat="false" ht="15" hidden="false" customHeight="false" outlineLevel="0" collapsed="false">
      <c r="A14" s="3"/>
      <c r="B14" s="4"/>
    </row>
    <row r="15" customFormat="false" ht="15" hidden="false" customHeight="false" outlineLevel="0" collapsed="false">
      <c r="A15" s="3" t="s">
        <v>14</v>
      </c>
      <c r="B15" s="4" t="s">
        <v>15</v>
      </c>
    </row>
    <row r="16" customFormat="false" ht="15" hidden="false" customHeight="false" outlineLevel="0" collapsed="false">
      <c r="A16" s="3" t="s">
        <v>16</v>
      </c>
      <c r="B16" s="4" t="s">
        <v>17</v>
      </c>
    </row>
    <row r="17" customFormat="false" ht="15" hidden="false" customHeight="false" outlineLevel="0" collapsed="false">
      <c r="A17" s="3" t="s">
        <v>18</v>
      </c>
      <c r="B17" s="4" t="s">
        <v>19</v>
      </c>
    </row>
    <row r="18" customFormat="false" ht="15" hidden="false" customHeight="false" outlineLevel="0" collapsed="false">
      <c r="A18" s="3" t="s">
        <v>20</v>
      </c>
      <c r="B18" s="4" t="s">
        <v>21</v>
      </c>
    </row>
    <row r="19" customFormat="false" ht="15" hidden="false" customHeight="false" outlineLevel="0" collapsed="false">
      <c r="A19" s="3" t="s">
        <v>22</v>
      </c>
      <c r="B19" s="4" t="s">
        <v>23</v>
      </c>
    </row>
    <row r="20" customFormat="false" ht="15" hidden="false" customHeight="false" outlineLevel="0" collapsed="false">
      <c r="A20" s="3" t="s">
        <v>24</v>
      </c>
      <c r="B20" s="4" t="s">
        <v>25</v>
      </c>
    </row>
    <row r="21" customFormat="false" ht="15" hidden="false" customHeight="false" outlineLevel="0" collapsed="false">
      <c r="A21" s="3"/>
      <c r="B21" s="4"/>
    </row>
    <row r="22" customFormat="false" ht="16.15" hidden="false" customHeight="false" outlineLevel="0" collapsed="false">
      <c r="A22" s="5" t="s">
        <v>26</v>
      </c>
    </row>
    <row r="23" customFormat="false" ht="15" hidden="false" customHeight="false" outlineLevel="0" collapsed="false">
      <c r="A23" s="3"/>
      <c r="B23" s="4"/>
    </row>
    <row r="24" customFormat="false" ht="15" hidden="false" customHeight="false" outlineLevel="0" collapsed="false">
      <c r="A24" s="3" t="s">
        <v>27</v>
      </c>
      <c r="B24" s="4" t="s">
        <v>28</v>
      </c>
    </row>
    <row r="25" customFormat="false" ht="15" hidden="false" customHeight="false" outlineLevel="0" collapsed="false">
      <c r="A25" s="3" t="s">
        <v>27</v>
      </c>
      <c r="B25" s="4" t="s">
        <v>29</v>
      </c>
    </row>
    <row r="26" customFormat="false" ht="15" hidden="false" customHeight="false" outlineLevel="0" collapsed="false">
      <c r="A26" s="3" t="s">
        <v>27</v>
      </c>
      <c r="B26" s="4" t="s">
        <v>30</v>
      </c>
    </row>
    <row r="27" customFormat="false" ht="15" hidden="false" customHeight="false" outlineLevel="0" collapsed="false">
      <c r="A27" s="3" t="s">
        <v>27</v>
      </c>
      <c r="B27" s="4" t="s">
        <v>31</v>
      </c>
    </row>
    <row r="28" customFormat="false" ht="15" hidden="false" customHeight="false" outlineLevel="0" collapsed="false">
      <c r="A28" s="3"/>
      <c r="B28" s="4"/>
    </row>
    <row r="29" customFormat="false" ht="16.15" hidden="false" customHeight="false" outlineLevel="0" collapsed="false">
      <c r="A29" s="5" t="s">
        <v>32</v>
      </c>
    </row>
    <row r="30" customFormat="false" ht="15" hidden="false" customHeight="false" outlineLevel="0" collapsed="false">
      <c r="A30" s="3"/>
      <c r="B30" s="4"/>
    </row>
    <row r="31" customFormat="false" ht="15" hidden="false" customHeight="false" outlineLevel="0" collapsed="false">
      <c r="A31" s="3" t="s">
        <v>33</v>
      </c>
      <c r="B31" s="4" t="s">
        <v>34</v>
      </c>
    </row>
    <row r="32" customFormat="false" ht="15" hidden="false" customHeight="false" outlineLevel="0" collapsed="false">
      <c r="A32" s="3" t="s">
        <v>35</v>
      </c>
      <c r="B32" s="4" t="s">
        <v>36</v>
      </c>
    </row>
    <row r="33" customFormat="false" ht="15" hidden="false" customHeight="false" outlineLevel="0" collapsed="false">
      <c r="A33" s="3" t="s">
        <v>37</v>
      </c>
      <c r="B33" s="4" t="s">
        <v>38</v>
      </c>
    </row>
    <row r="34" customFormat="false" ht="15" hidden="false" customHeight="false" outlineLevel="0" collapsed="false">
      <c r="A34" s="3" t="s">
        <v>39</v>
      </c>
      <c r="B34" s="4" t="s">
        <v>40</v>
      </c>
    </row>
    <row r="35" customFormat="false" ht="15" hidden="false" customHeight="false" outlineLevel="0" collapsed="false">
      <c r="A35" s="3" t="s">
        <v>41</v>
      </c>
      <c r="B35" s="4" t="s">
        <v>42</v>
      </c>
    </row>
    <row r="36" customFormat="false" ht="15" hidden="false" customHeight="false" outlineLevel="0" collapsed="false">
      <c r="A36" s="3" t="s">
        <v>43</v>
      </c>
      <c r="B36" s="4" t="s">
        <v>44</v>
      </c>
    </row>
    <row r="37" customFormat="false" ht="15" hidden="false" customHeight="false" outlineLevel="0" collapsed="false">
      <c r="A37" s="3" t="s">
        <v>45</v>
      </c>
      <c r="B37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7" min="6" style="0" width="26"/>
  </cols>
  <sheetData>
    <row r="1" customFormat="false" ht="22.05" hidden="false" customHeight="false" outlineLevel="0" collapsed="false">
      <c r="A1" s="6" t="s">
        <v>47</v>
      </c>
      <c r="B1" s="6"/>
      <c r="C1" s="6"/>
      <c r="D1" s="6"/>
      <c r="E1" s="6"/>
      <c r="F1" s="6"/>
      <c r="G1" s="6"/>
    </row>
    <row r="3" customFormat="false" ht="22.05" hidden="false" customHeight="false" outlineLevel="0" collapsed="false">
      <c r="A3" s="7" t="s">
        <v>48</v>
      </c>
      <c r="B3" s="8" t="n">
        <f aca="false">Calc!B22</f>
        <v>0</v>
      </c>
    </row>
    <row r="4" customFormat="false" ht="17.35" hidden="false" customHeight="false" outlineLevel="0" collapsed="false">
      <c r="A4" s="7" t="s">
        <v>49</v>
      </c>
      <c r="B4" s="9" t="str">
        <f aca="false">IF(B3&lt;=-1,"STRONG BOOTSTRAP",IF(B3&lt;=-0.2,"Bootstrap-leaning",IF(B3&lt;0.2,"AMBIGUOUS — model both",IF(B3&lt;1,"Equity-leaning","STRONG EQUITY"))))</f>
        <v>AMBIGUOUS — model both</v>
      </c>
      <c r="C4" s="9"/>
      <c r="D4" s="9"/>
      <c r="E4" s="9"/>
      <c r="F4" s="9"/>
      <c r="G4" s="9"/>
    </row>
    <row r="5" customFormat="false" ht="15" hidden="false" customHeight="false" outlineLevel="0" collapsed="false">
      <c r="A5" s="3" t="s">
        <v>50</v>
      </c>
      <c r="B5" s="10" t="n">
        <f aca="false">COUNT(D11:D14,D17:D20,D23:D25,D28:D31)</f>
        <v>0</v>
      </c>
      <c r="C5" s="11" t="s">
        <v>51</v>
      </c>
      <c r="D5" s="11"/>
      <c r="E5" s="11"/>
      <c r="F5" s="11"/>
      <c r="G5" s="11"/>
    </row>
    <row r="9" customFormat="false" ht="15" hidden="false" customHeight="false" outlineLevel="0" collapsed="false">
      <c r="A9" s="12" t="s">
        <v>52</v>
      </c>
      <c r="B9" s="12" t="s">
        <v>53</v>
      </c>
      <c r="C9" s="12" t="s">
        <v>54</v>
      </c>
      <c r="D9" s="12" t="s">
        <v>55</v>
      </c>
      <c r="E9" s="12" t="s">
        <v>56</v>
      </c>
      <c r="F9" s="12" t="s">
        <v>57</v>
      </c>
      <c r="G9" s="12" t="s">
        <v>58</v>
      </c>
    </row>
    <row r="10" customFormat="false" ht="19.5" hidden="false" customHeight="true" outlineLevel="0" collapsed="false">
      <c r="A10" s="13" t="s">
        <v>59</v>
      </c>
      <c r="B10" s="13"/>
      <c r="C10" s="13"/>
      <c r="D10" s="13"/>
      <c r="E10" s="13"/>
      <c r="F10" s="13"/>
      <c r="G10" s="13"/>
    </row>
    <row r="11" customFormat="false" ht="21.75" hidden="false" customHeight="true" outlineLevel="0" collapsed="false">
      <c r="A11" s="14" t="s">
        <v>60</v>
      </c>
      <c r="B11" s="15" t="s">
        <v>61</v>
      </c>
      <c r="C11" s="16" t="s">
        <v>62</v>
      </c>
      <c r="D11" s="17"/>
      <c r="E11" s="18" t="s">
        <v>63</v>
      </c>
      <c r="F11" s="18" t="s">
        <v>64</v>
      </c>
      <c r="G11" s="19" t="s">
        <v>65</v>
      </c>
    </row>
    <row r="12" customFormat="false" ht="21.75" hidden="false" customHeight="true" outlineLevel="0" collapsed="false">
      <c r="A12" s="14" t="s">
        <v>66</v>
      </c>
      <c r="B12" s="15" t="s">
        <v>67</v>
      </c>
      <c r="C12" s="16" t="s">
        <v>62</v>
      </c>
      <c r="D12" s="17"/>
      <c r="E12" s="18" t="s">
        <v>68</v>
      </c>
      <c r="F12" s="18" t="s">
        <v>69</v>
      </c>
      <c r="G12" s="19" t="s">
        <v>65</v>
      </c>
    </row>
    <row r="13" customFormat="false" ht="21.75" hidden="false" customHeight="true" outlineLevel="0" collapsed="false">
      <c r="A13" s="14" t="s">
        <v>70</v>
      </c>
      <c r="B13" s="15" t="s">
        <v>71</v>
      </c>
      <c r="C13" s="16" t="s">
        <v>62</v>
      </c>
      <c r="D13" s="17"/>
      <c r="E13" s="18" t="s">
        <v>72</v>
      </c>
      <c r="F13" s="18" t="s">
        <v>73</v>
      </c>
      <c r="G13" s="19" t="s">
        <v>74</v>
      </c>
    </row>
    <row r="14" customFormat="false" ht="21.75" hidden="false" customHeight="true" outlineLevel="0" collapsed="false">
      <c r="A14" s="14" t="s">
        <v>75</v>
      </c>
      <c r="B14" s="15" t="s">
        <v>76</v>
      </c>
      <c r="C14" s="16" t="s">
        <v>62</v>
      </c>
      <c r="D14" s="17"/>
      <c r="E14" s="18" t="s">
        <v>77</v>
      </c>
      <c r="F14" s="18" t="s">
        <v>78</v>
      </c>
      <c r="G14" s="19" t="s">
        <v>79</v>
      </c>
    </row>
    <row r="16" customFormat="false" ht="19.5" hidden="false" customHeight="true" outlineLevel="0" collapsed="false">
      <c r="A16" s="20" t="s">
        <v>80</v>
      </c>
      <c r="B16" s="20"/>
      <c r="C16" s="20"/>
      <c r="D16" s="20"/>
      <c r="E16" s="20"/>
      <c r="F16" s="20"/>
      <c r="G16" s="20"/>
    </row>
    <row r="17" customFormat="false" ht="21.75" hidden="false" customHeight="true" outlineLevel="0" collapsed="false">
      <c r="A17" s="14" t="s">
        <v>81</v>
      </c>
      <c r="B17" s="15" t="s">
        <v>82</v>
      </c>
      <c r="C17" s="21" t="s">
        <v>83</v>
      </c>
      <c r="D17" s="17"/>
      <c r="E17" s="18" t="s">
        <v>63</v>
      </c>
      <c r="F17" s="18" t="s">
        <v>64</v>
      </c>
      <c r="G17" s="19" t="s">
        <v>74</v>
      </c>
    </row>
    <row r="18" customFormat="false" ht="21.75" hidden="false" customHeight="true" outlineLevel="0" collapsed="false">
      <c r="A18" s="14" t="s">
        <v>84</v>
      </c>
      <c r="B18" s="15" t="s">
        <v>85</v>
      </c>
      <c r="C18" s="21" t="s">
        <v>83</v>
      </c>
      <c r="D18" s="17"/>
      <c r="E18" s="18" t="s">
        <v>77</v>
      </c>
      <c r="F18" s="18" t="s">
        <v>78</v>
      </c>
      <c r="G18" s="19" t="s">
        <v>86</v>
      </c>
    </row>
    <row r="19" customFormat="false" ht="21.75" hidden="false" customHeight="true" outlineLevel="0" collapsed="false">
      <c r="A19" s="14" t="s">
        <v>87</v>
      </c>
      <c r="B19" s="15" t="s">
        <v>88</v>
      </c>
      <c r="C19" s="16" t="s">
        <v>62</v>
      </c>
      <c r="D19" s="17"/>
      <c r="E19" s="18" t="s">
        <v>89</v>
      </c>
      <c r="F19" s="18" t="s">
        <v>90</v>
      </c>
      <c r="G19" s="19" t="s">
        <v>74</v>
      </c>
    </row>
    <row r="20" customFormat="false" ht="21.75" hidden="false" customHeight="true" outlineLevel="0" collapsed="false">
      <c r="A20" s="14" t="s">
        <v>91</v>
      </c>
      <c r="B20" s="15" t="s">
        <v>92</v>
      </c>
      <c r="C20" s="21" t="s">
        <v>83</v>
      </c>
      <c r="D20" s="17"/>
      <c r="E20" s="18" t="s">
        <v>93</v>
      </c>
      <c r="F20" s="18" t="s">
        <v>94</v>
      </c>
      <c r="G20" s="19" t="s">
        <v>86</v>
      </c>
    </row>
    <row r="22" customFormat="false" ht="19.5" hidden="false" customHeight="true" outlineLevel="0" collapsed="false">
      <c r="A22" s="22" t="s">
        <v>95</v>
      </c>
      <c r="B22" s="22"/>
      <c r="C22" s="22"/>
      <c r="D22" s="22"/>
      <c r="E22" s="22"/>
      <c r="F22" s="22"/>
      <c r="G22" s="22"/>
    </row>
    <row r="23" customFormat="false" ht="21.75" hidden="false" customHeight="true" outlineLevel="0" collapsed="false">
      <c r="A23" s="14" t="s">
        <v>96</v>
      </c>
      <c r="B23" s="15" t="s">
        <v>97</v>
      </c>
      <c r="C23" s="21" t="s">
        <v>83</v>
      </c>
      <c r="D23" s="17"/>
      <c r="E23" s="18" t="s">
        <v>98</v>
      </c>
      <c r="F23" s="18" t="s">
        <v>99</v>
      </c>
      <c r="G23" s="19" t="s">
        <v>86</v>
      </c>
    </row>
    <row r="24" customFormat="false" ht="21.75" hidden="false" customHeight="true" outlineLevel="0" collapsed="false">
      <c r="A24" s="14" t="s">
        <v>100</v>
      </c>
      <c r="B24" s="15" t="s">
        <v>101</v>
      </c>
      <c r="C24" s="21" t="s">
        <v>83</v>
      </c>
      <c r="D24" s="17"/>
      <c r="E24" s="18" t="s">
        <v>102</v>
      </c>
      <c r="F24" s="18" t="s">
        <v>103</v>
      </c>
      <c r="G24" s="19" t="s">
        <v>74</v>
      </c>
    </row>
    <row r="25" customFormat="false" ht="21.75" hidden="false" customHeight="true" outlineLevel="0" collapsed="false">
      <c r="A25" s="14" t="s">
        <v>104</v>
      </c>
      <c r="B25" s="15" t="s">
        <v>105</v>
      </c>
      <c r="C25" s="21" t="s">
        <v>83</v>
      </c>
      <c r="D25" s="17"/>
      <c r="E25" s="18" t="s">
        <v>106</v>
      </c>
      <c r="F25" s="18" t="s">
        <v>107</v>
      </c>
      <c r="G25" s="19" t="s">
        <v>108</v>
      </c>
    </row>
    <row r="27" customFormat="false" ht="19.5" hidden="false" customHeight="true" outlineLevel="0" collapsed="false">
      <c r="A27" s="23" t="s">
        <v>109</v>
      </c>
      <c r="B27" s="23"/>
      <c r="C27" s="23"/>
      <c r="D27" s="23"/>
      <c r="E27" s="23"/>
      <c r="F27" s="23"/>
      <c r="G27" s="23"/>
    </row>
    <row r="28" customFormat="false" ht="21.75" hidden="false" customHeight="true" outlineLevel="0" collapsed="false">
      <c r="A28" s="14" t="s">
        <v>110</v>
      </c>
      <c r="B28" s="15" t="s">
        <v>111</v>
      </c>
      <c r="C28" s="21" t="s">
        <v>83</v>
      </c>
      <c r="D28" s="17"/>
      <c r="E28" s="18" t="s">
        <v>112</v>
      </c>
      <c r="F28" s="18" t="s">
        <v>113</v>
      </c>
      <c r="G28" s="19" t="s">
        <v>65</v>
      </c>
    </row>
    <row r="29" customFormat="false" ht="21.75" hidden="false" customHeight="true" outlineLevel="0" collapsed="false">
      <c r="A29" s="14" t="s">
        <v>114</v>
      </c>
      <c r="B29" s="15" t="s">
        <v>115</v>
      </c>
      <c r="C29" s="21" t="s">
        <v>83</v>
      </c>
      <c r="D29" s="17"/>
      <c r="E29" s="18" t="s">
        <v>116</v>
      </c>
      <c r="F29" s="18" t="s">
        <v>117</v>
      </c>
      <c r="G29" s="19" t="s">
        <v>65</v>
      </c>
    </row>
    <row r="30" customFormat="false" ht="21.75" hidden="false" customHeight="true" outlineLevel="0" collapsed="false">
      <c r="A30" s="14" t="s">
        <v>118</v>
      </c>
      <c r="B30" s="15" t="s">
        <v>119</v>
      </c>
      <c r="C30" s="21" t="s">
        <v>83</v>
      </c>
      <c r="D30" s="17"/>
      <c r="E30" s="18" t="s">
        <v>120</v>
      </c>
      <c r="F30" s="18" t="s">
        <v>121</v>
      </c>
      <c r="G30" s="19" t="s">
        <v>86</v>
      </c>
    </row>
    <row r="31" customFormat="false" ht="21.75" hidden="false" customHeight="true" outlineLevel="0" collapsed="false">
      <c r="A31" s="14" t="s">
        <v>122</v>
      </c>
      <c r="B31" s="15" t="s">
        <v>123</v>
      </c>
      <c r="C31" s="16" t="s">
        <v>62</v>
      </c>
      <c r="D31" s="17"/>
      <c r="E31" s="18" t="s">
        <v>124</v>
      </c>
      <c r="F31" s="18" t="s">
        <v>125</v>
      </c>
      <c r="G31" s="19" t="s">
        <v>126</v>
      </c>
    </row>
    <row r="33" customFormat="false" ht="15" hidden="false" customHeight="false" outlineLevel="0" collapsed="false">
      <c r="A33" s="11" t="s">
        <v>127</v>
      </c>
      <c r="B33" s="11"/>
      <c r="C33" s="11"/>
      <c r="D33" s="11"/>
      <c r="E33" s="11"/>
      <c r="F33" s="11"/>
      <c r="G33" s="11"/>
    </row>
  </sheetData>
  <mergeCells count="8">
    <mergeCell ref="A1:G1"/>
    <mergeCell ref="B4:G4"/>
    <mergeCell ref="C5:G5"/>
    <mergeCell ref="A10:G10"/>
    <mergeCell ref="A16:G16"/>
    <mergeCell ref="A22:G22"/>
    <mergeCell ref="A27:G27"/>
    <mergeCell ref="A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4" t="s">
        <v>128</v>
      </c>
    </row>
    <row r="2" customFormat="false" ht="15" hidden="false" customHeight="false" outlineLevel="0" collapsed="false">
      <c r="A2" s="25" t="s">
        <v>53</v>
      </c>
      <c r="B2" s="25" t="s">
        <v>129</v>
      </c>
      <c r="C2" s="25" t="s">
        <v>130</v>
      </c>
      <c r="D2" s="25" t="s">
        <v>54</v>
      </c>
      <c r="E2" s="25" t="s">
        <v>131</v>
      </c>
      <c r="F2" s="25" t="s">
        <v>132</v>
      </c>
      <c r="H2" s="25" t="s">
        <v>133</v>
      </c>
    </row>
    <row r="3" customFormat="false" ht="15" hidden="false" customHeight="false" outlineLevel="0" collapsed="false">
      <c r="A3" s="0" t="s">
        <v>60</v>
      </c>
      <c r="B3" s="0" t="n">
        <f aca="false">IF(ISNUMBER(Scorer!D11),Scorer!D11,3)</f>
        <v>3</v>
      </c>
      <c r="C3" s="0" t="n">
        <f aca="false">B3-3</f>
        <v>0</v>
      </c>
      <c r="D3" s="0" t="s">
        <v>134</v>
      </c>
      <c r="E3" s="0" t="s">
        <v>135</v>
      </c>
      <c r="F3" s="0" t="n">
        <f aca="false">IF(D3="E",C3,-C3)</f>
        <v>-0</v>
      </c>
      <c r="H3" s="0" t="n">
        <f aca="false">F3*SIGN($B$22)</f>
        <v>-0</v>
      </c>
    </row>
    <row r="4" customFormat="false" ht="15" hidden="false" customHeight="false" outlineLevel="0" collapsed="false">
      <c r="A4" s="0" t="s">
        <v>66</v>
      </c>
      <c r="B4" s="0" t="n">
        <f aca="false">IF(ISNUMBER(Scorer!D12),Scorer!D12,3)</f>
        <v>3</v>
      </c>
      <c r="C4" s="0" t="n">
        <f aca="false">B4-3</f>
        <v>0</v>
      </c>
      <c r="D4" s="0" t="s">
        <v>134</v>
      </c>
      <c r="E4" s="0" t="s">
        <v>135</v>
      </c>
      <c r="F4" s="0" t="n">
        <f aca="false">IF(D4="E",C4,-C4)</f>
        <v>-0</v>
      </c>
      <c r="H4" s="0" t="n">
        <f aca="false">F4*SIGN($B$22)</f>
        <v>-0</v>
      </c>
    </row>
    <row r="5" customFormat="false" ht="15" hidden="false" customHeight="false" outlineLevel="0" collapsed="false">
      <c r="A5" s="0" t="s">
        <v>70</v>
      </c>
      <c r="B5" s="0" t="n">
        <f aca="false">IF(ISNUMBER(Scorer!D13),Scorer!D13,3)</f>
        <v>3</v>
      </c>
      <c r="C5" s="0" t="n">
        <f aca="false">B5-3</f>
        <v>0</v>
      </c>
      <c r="D5" s="0" t="s">
        <v>134</v>
      </c>
      <c r="E5" s="0" t="s">
        <v>135</v>
      </c>
      <c r="F5" s="0" t="n">
        <f aca="false">IF(D5="E",C5,-C5)</f>
        <v>-0</v>
      </c>
      <c r="H5" s="0" t="n">
        <f aca="false">F5*SIGN($B$22)</f>
        <v>-0</v>
      </c>
    </row>
    <row r="6" customFormat="false" ht="15" hidden="false" customHeight="false" outlineLevel="0" collapsed="false">
      <c r="A6" s="0" t="s">
        <v>75</v>
      </c>
      <c r="B6" s="0" t="n">
        <f aca="false">IF(ISNUMBER(Scorer!D14),Scorer!D14,3)</f>
        <v>3</v>
      </c>
      <c r="C6" s="0" t="n">
        <f aca="false">B6-3</f>
        <v>0</v>
      </c>
      <c r="D6" s="0" t="s">
        <v>134</v>
      </c>
      <c r="E6" s="0" t="s">
        <v>135</v>
      </c>
      <c r="F6" s="0" t="n">
        <f aca="false">IF(D6="E",C6,-C6)</f>
        <v>-0</v>
      </c>
      <c r="H6" s="0" t="n">
        <f aca="false">F6*SIGN($B$22)</f>
        <v>-0</v>
      </c>
    </row>
    <row r="7" customFormat="false" ht="15" hidden="false" customHeight="false" outlineLevel="0" collapsed="false">
      <c r="A7" s="0" t="s">
        <v>81</v>
      </c>
      <c r="B7" s="0" t="n">
        <f aca="false">IF(ISNUMBER(Scorer!D17),Scorer!D17,3)</f>
        <v>3</v>
      </c>
      <c r="C7" s="0" t="n">
        <f aca="false">B7-3</f>
        <v>0</v>
      </c>
      <c r="D7" s="0" t="s">
        <v>136</v>
      </c>
      <c r="E7" s="0" t="s">
        <v>134</v>
      </c>
      <c r="F7" s="0" t="n">
        <f aca="false">IF(D7="E",C7,-C7)</f>
        <v>0</v>
      </c>
      <c r="H7" s="0" t="n">
        <f aca="false">F7*SIGN($B$22)</f>
        <v>0</v>
      </c>
    </row>
    <row r="8" customFormat="false" ht="15" hidden="false" customHeight="false" outlineLevel="0" collapsed="false">
      <c r="A8" s="0" t="s">
        <v>84</v>
      </c>
      <c r="B8" s="0" t="n">
        <f aca="false">IF(ISNUMBER(Scorer!D18),Scorer!D18,3)</f>
        <v>3</v>
      </c>
      <c r="C8" s="0" t="n">
        <f aca="false">B8-3</f>
        <v>0</v>
      </c>
      <c r="D8" s="0" t="s">
        <v>136</v>
      </c>
      <c r="E8" s="0" t="s">
        <v>134</v>
      </c>
      <c r="F8" s="0" t="n">
        <f aca="false">IF(D8="E",C8,-C8)</f>
        <v>0</v>
      </c>
      <c r="H8" s="0" t="n">
        <f aca="false">F8*SIGN($B$22)</f>
        <v>0</v>
      </c>
    </row>
    <row r="9" customFormat="false" ht="15" hidden="false" customHeight="false" outlineLevel="0" collapsed="false">
      <c r="A9" s="0" t="s">
        <v>87</v>
      </c>
      <c r="B9" s="0" t="n">
        <f aca="false">IF(ISNUMBER(Scorer!D19),Scorer!D19,3)</f>
        <v>3</v>
      </c>
      <c r="C9" s="0" t="n">
        <f aca="false">B9-3</f>
        <v>0</v>
      </c>
      <c r="D9" s="0" t="s">
        <v>134</v>
      </c>
      <c r="E9" s="0" t="s">
        <v>134</v>
      </c>
      <c r="F9" s="0" t="n">
        <f aca="false">IF(D9="E",C9,-C9)</f>
        <v>-0</v>
      </c>
      <c r="H9" s="0" t="n">
        <f aca="false">F9*SIGN($B$22)</f>
        <v>-0</v>
      </c>
    </row>
    <row r="10" customFormat="false" ht="15" hidden="false" customHeight="false" outlineLevel="0" collapsed="false">
      <c r="A10" s="0" t="s">
        <v>91</v>
      </c>
      <c r="B10" s="0" t="n">
        <f aca="false">IF(ISNUMBER(Scorer!D20),Scorer!D20,3)</f>
        <v>3</v>
      </c>
      <c r="C10" s="0" t="n">
        <f aca="false">B10-3</f>
        <v>0</v>
      </c>
      <c r="D10" s="0" t="s">
        <v>136</v>
      </c>
      <c r="E10" s="0" t="s">
        <v>134</v>
      </c>
      <c r="F10" s="0" t="n">
        <f aca="false">IF(D10="E",C10,-C10)</f>
        <v>0</v>
      </c>
      <c r="H10" s="0" t="n">
        <f aca="false">F10*SIGN($B$22)</f>
        <v>0</v>
      </c>
    </row>
    <row r="11" customFormat="false" ht="15" hidden="false" customHeight="false" outlineLevel="0" collapsed="false">
      <c r="A11" s="0" t="s">
        <v>96</v>
      </c>
      <c r="B11" s="0" t="n">
        <f aca="false">IF(ISNUMBER(Scorer!D23),Scorer!D23,3)</f>
        <v>3</v>
      </c>
      <c r="C11" s="0" t="n">
        <f aca="false">B11-3</f>
        <v>0</v>
      </c>
      <c r="D11" s="0" t="s">
        <v>136</v>
      </c>
      <c r="E11" s="0" t="s">
        <v>137</v>
      </c>
      <c r="F11" s="0" t="n">
        <f aca="false">IF(D11="E",C11,-C11)</f>
        <v>0</v>
      </c>
      <c r="H11" s="0" t="n">
        <f aca="false">F11*SIGN($B$22)</f>
        <v>0</v>
      </c>
    </row>
    <row r="12" customFormat="false" ht="15" hidden="false" customHeight="false" outlineLevel="0" collapsed="false">
      <c r="A12" s="0" t="s">
        <v>100</v>
      </c>
      <c r="B12" s="0" t="n">
        <f aca="false">IF(ISNUMBER(Scorer!D24),Scorer!D24,3)</f>
        <v>3</v>
      </c>
      <c r="C12" s="0" t="n">
        <f aca="false">B12-3</f>
        <v>0</v>
      </c>
      <c r="D12" s="0" t="s">
        <v>136</v>
      </c>
      <c r="E12" s="0" t="s">
        <v>137</v>
      </c>
      <c r="F12" s="0" t="n">
        <f aca="false">IF(D12="E",C12,-C12)</f>
        <v>0</v>
      </c>
      <c r="H12" s="0" t="n">
        <f aca="false">F12*SIGN($B$22)</f>
        <v>0</v>
      </c>
    </row>
    <row r="13" customFormat="false" ht="15" hidden="false" customHeight="false" outlineLevel="0" collapsed="false">
      <c r="A13" s="0" t="s">
        <v>104</v>
      </c>
      <c r="B13" s="0" t="n">
        <f aca="false">IF(ISNUMBER(Scorer!D25),Scorer!D25,3)</f>
        <v>3</v>
      </c>
      <c r="C13" s="0" t="n">
        <f aca="false">B13-3</f>
        <v>0</v>
      </c>
      <c r="D13" s="0" t="s">
        <v>136</v>
      </c>
      <c r="E13" s="0" t="s">
        <v>137</v>
      </c>
      <c r="F13" s="0" t="n">
        <f aca="false">IF(D13="E",C13,-C13)</f>
        <v>0</v>
      </c>
      <c r="H13" s="0" t="n">
        <f aca="false">F13*SIGN($B$22)</f>
        <v>0</v>
      </c>
    </row>
    <row r="14" customFormat="false" ht="15" hidden="false" customHeight="false" outlineLevel="0" collapsed="false">
      <c r="A14" s="0" t="s">
        <v>110</v>
      </c>
      <c r="B14" s="0" t="n">
        <f aca="false">IF(ISNUMBER(Scorer!D28),Scorer!D28,3)</f>
        <v>3</v>
      </c>
      <c r="C14" s="0" t="n">
        <f aca="false">B14-3</f>
        <v>0</v>
      </c>
      <c r="D14" s="0" t="s">
        <v>136</v>
      </c>
      <c r="E14" s="0" t="s">
        <v>138</v>
      </c>
      <c r="F14" s="0" t="n">
        <f aca="false">IF(D14="E",C14,-C14)</f>
        <v>0</v>
      </c>
      <c r="H14" s="0" t="n">
        <f aca="false">F14*SIGN($B$22)</f>
        <v>0</v>
      </c>
    </row>
    <row r="15" customFormat="false" ht="15" hidden="false" customHeight="false" outlineLevel="0" collapsed="false">
      <c r="A15" s="0" t="s">
        <v>114</v>
      </c>
      <c r="B15" s="0" t="n">
        <f aca="false">IF(ISNUMBER(Scorer!D29),Scorer!D29,3)</f>
        <v>3</v>
      </c>
      <c r="C15" s="0" t="n">
        <f aca="false">B15-3</f>
        <v>0</v>
      </c>
      <c r="D15" s="0" t="s">
        <v>136</v>
      </c>
      <c r="E15" s="0" t="s">
        <v>138</v>
      </c>
      <c r="F15" s="0" t="n">
        <f aca="false">IF(D15="E",C15,-C15)</f>
        <v>0</v>
      </c>
      <c r="H15" s="0" t="n">
        <f aca="false">F15*SIGN($B$22)</f>
        <v>0</v>
      </c>
    </row>
    <row r="16" customFormat="false" ht="15" hidden="false" customHeight="false" outlineLevel="0" collapsed="false">
      <c r="A16" s="0" t="s">
        <v>118</v>
      </c>
      <c r="B16" s="0" t="n">
        <f aca="false">IF(ISNUMBER(Scorer!D30),Scorer!D30,3)</f>
        <v>3</v>
      </c>
      <c r="C16" s="0" t="n">
        <f aca="false">B16-3</f>
        <v>0</v>
      </c>
      <c r="D16" s="0" t="s">
        <v>136</v>
      </c>
      <c r="E16" s="0" t="s">
        <v>138</v>
      </c>
      <c r="F16" s="0" t="n">
        <f aca="false">IF(D16="E",C16,-C16)</f>
        <v>0</v>
      </c>
      <c r="H16" s="0" t="n">
        <f aca="false">F16*SIGN($B$22)</f>
        <v>0</v>
      </c>
    </row>
    <row r="17" customFormat="false" ht="15" hidden="false" customHeight="false" outlineLevel="0" collapsed="false">
      <c r="A17" s="0" t="s">
        <v>122</v>
      </c>
      <c r="B17" s="0" t="n">
        <f aca="false">IF(ISNUMBER(Scorer!D31),Scorer!D31,3)</f>
        <v>3</v>
      </c>
      <c r="C17" s="0" t="n">
        <f aca="false">B17-3</f>
        <v>0</v>
      </c>
      <c r="D17" s="0" t="s">
        <v>134</v>
      </c>
      <c r="E17" s="0" t="s">
        <v>138</v>
      </c>
      <c r="F17" s="0" t="n">
        <f aca="false">IF(D17="E",C17,-C17)</f>
        <v>-0</v>
      </c>
      <c r="H17" s="0" t="n">
        <f aca="false">F17*SIGN($B$22)</f>
        <v>-0</v>
      </c>
    </row>
    <row r="19" customFormat="false" ht="15" hidden="false" customHeight="false" outlineLevel="0" collapsed="false">
      <c r="A19" s="0" t="s">
        <v>139</v>
      </c>
      <c r="B19" s="0" t="n">
        <f aca="false">AVERAGE(F3:F6)</f>
        <v>0</v>
      </c>
    </row>
    <row r="20" customFormat="false" ht="15" hidden="false" customHeight="false" outlineLevel="0" collapsed="false">
      <c r="A20" s="0" t="s">
        <v>140</v>
      </c>
      <c r="B20" s="0" t="n">
        <f aca="false">AVERAGE(F7:F10)</f>
        <v>0</v>
      </c>
    </row>
    <row r="21" customFormat="false" ht="15" hidden="false" customHeight="false" outlineLevel="0" collapsed="false">
      <c r="A21" s="0" t="s">
        <v>141</v>
      </c>
      <c r="B21" s="0" t="n">
        <f aca="false">AVERAGE(F11:F13)</f>
        <v>0</v>
      </c>
    </row>
    <row r="22" customFormat="false" ht="17.35" hidden="false" customHeight="false" outlineLevel="0" collapsed="false">
      <c r="A22" s="26" t="s">
        <v>142</v>
      </c>
      <c r="B22" s="27" t="n">
        <f aca="false">B19*B26 + B20*B27 + B21*B28 + B23*B29</f>
        <v>0</v>
      </c>
    </row>
    <row r="23" customFormat="false" ht="15" hidden="false" customHeight="false" outlineLevel="0" collapsed="false">
      <c r="A23" s="0" t="s">
        <v>143</v>
      </c>
      <c r="B23" s="0" t="n">
        <f aca="false">AVERAGE(F14:F17)</f>
        <v>0</v>
      </c>
    </row>
    <row r="25" customFormat="false" ht="15" hidden="false" customHeight="false" outlineLevel="0" collapsed="false">
      <c r="A25" s="0" t="s">
        <v>144</v>
      </c>
    </row>
    <row r="26" customFormat="false" ht="15" hidden="false" customHeight="false" outlineLevel="0" collapsed="false">
      <c r="A26" s="0" t="s">
        <v>145</v>
      </c>
      <c r="B26" s="0" t="n">
        <v>0.25</v>
      </c>
    </row>
    <row r="27" customFormat="false" ht="15" hidden="false" customHeight="false" outlineLevel="0" collapsed="false">
      <c r="A27" s="0" t="s">
        <v>146</v>
      </c>
      <c r="B27" s="0" t="n">
        <v>0.3</v>
      </c>
    </row>
    <row r="28" customFormat="false" ht="15" hidden="false" customHeight="false" outlineLevel="0" collapsed="false">
      <c r="A28" s="0" t="s">
        <v>147</v>
      </c>
      <c r="B28" s="0" t="n">
        <v>0.2</v>
      </c>
    </row>
    <row r="29" customFormat="false" ht="15" hidden="false" customHeight="false" outlineLevel="0" collapsed="false">
      <c r="A29" s="0" t="s">
        <v>148</v>
      </c>
      <c r="B29" s="0" t="n">
        <v>0.25</v>
      </c>
    </row>
    <row r="32" customFormat="false" ht="15" hidden="false" customHeight="false" outlineLevel="0" collapsed="false">
      <c r="A32" s="26" t="s">
        <v>149</v>
      </c>
    </row>
    <row r="33" customFormat="false" ht="15" hidden="false" customHeight="false" outlineLevel="0" collapsed="false">
      <c r="A33" s="0" t="str">
        <f aca="false">INDEX($A$3:$A$17,MATCH(LARGE($H$3:$H$17,1),$H$3:$H$17,0))</f>
        <v>A1</v>
      </c>
      <c r="B33" s="0" t="n">
        <f aca="false">LARGE($H$3:$H$17,1)</f>
        <v>-0</v>
      </c>
    </row>
    <row r="34" customFormat="false" ht="15" hidden="false" customHeight="false" outlineLevel="0" collapsed="false">
      <c r="A34" s="0" t="str">
        <f aca="false">INDEX($A$3:$A$17,MATCH(LARGE($H$3:$H$17,2),$H$3:$H$17,0))</f>
        <v>A1</v>
      </c>
      <c r="B34" s="0" t="n">
        <f aca="false">LARGE($H$3:$H$17,2)</f>
        <v>0</v>
      </c>
    </row>
    <row r="35" customFormat="false" ht="15" hidden="false" customHeight="false" outlineLevel="0" collapsed="false">
      <c r="A35" s="0" t="str">
        <f aca="false">INDEX($A$3:$A$17,MATCH(LARGE($H$3:$H$17,3),$H$3:$H$17,0))</f>
        <v>A1</v>
      </c>
      <c r="B35" s="0" t="n">
        <f aca="false">LARGE($H$3:$H$17,3)</f>
        <v>-0</v>
      </c>
    </row>
    <row r="37" customFormat="false" ht="15" hidden="false" customHeight="false" outlineLevel="0" collapsed="false">
      <c r="A37" s="28" t="s">
        <v>150</v>
      </c>
    </row>
    <row r="38" customFormat="false" ht="15" hidden="false" customHeight="false" outlineLevel="0" collapsed="false">
      <c r="A38" s="0" t="str">
        <f aca="false">INDEX($A$3:$A$17,MATCH(SMALL($H$3:$H$17,1),$H$3:$H$17,0))</f>
        <v>A1</v>
      </c>
      <c r="B38" s="0" t="n">
        <f aca="false">SMALL($H$3:$H$17,1)</f>
        <v>0</v>
      </c>
    </row>
    <row r="39" customFormat="false" ht="15" hidden="false" customHeight="false" outlineLevel="0" collapsed="false">
      <c r="A39" s="0" t="str">
        <f aca="false">INDEX($A$3:$A$17,MATCH(SMALL($H$3:$H$17,2),$H$3:$H$17,0))</f>
        <v>A1</v>
      </c>
      <c r="B39" s="0" t="n">
        <f aca="false">SMALL($H$3:$H$17,2)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6" min="4" style="0" width="16"/>
  </cols>
  <sheetData>
    <row r="1" customFormat="false" ht="26.8" hidden="false" customHeight="false" outlineLevel="0" collapsed="false">
      <c r="A1" s="29" t="s">
        <v>151</v>
      </c>
      <c r="B1" s="29"/>
      <c r="C1" s="29"/>
      <c r="D1" s="29"/>
      <c r="E1" s="29"/>
      <c r="F1" s="29"/>
    </row>
    <row r="2" customFormat="false" ht="15" hidden="false" customHeight="false" outlineLevel="0" collapsed="false">
      <c r="A2" s="30" t="s">
        <v>152</v>
      </c>
      <c r="B2" s="30"/>
      <c r="C2" s="30"/>
      <c r="D2" s="30"/>
      <c r="E2" s="30"/>
      <c r="F2" s="30"/>
    </row>
    <row r="4" customFormat="false" ht="15" hidden="false" customHeight="false" outlineLevel="0" collapsed="false">
      <c r="A4" s="24" t="s">
        <v>153</v>
      </c>
    </row>
    <row r="5" customFormat="false" ht="30" hidden="false" customHeight="true" outlineLevel="0" collapsed="false">
      <c r="A5" s="31" t="str">
        <f aca="false">Scorer!B4</f>
        <v>AMBIGUOUS — model both</v>
      </c>
      <c r="B5" s="31"/>
      <c r="C5" s="31"/>
      <c r="D5" s="31"/>
      <c r="E5" s="31"/>
      <c r="F5" s="31"/>
    </row>
    <row r="7" customFormat="false" ht="17.35" hidden="false" customHeight="false" outlineLevel="0" collapsed="false">
      <c r="A7" s="32" t="s">
        <v>154</v>
      </c>
      <c r="B7" s="27" t="n">
        <f aca="false">Scorer!B3</f>
        <v>0</v>
      </c>
      <c r="C7" s="32" t="s">
        <v>155</v>
      </c>
      <c r="D7" s="33" t="s">
        <v>156</v>
      </c>
      <c r="E7" s="33"/>
      <c r="F7" s="33"/>
    </row>
    <row r="9" customFormat="false" ht="15" hidden="false" customHeight="false" outlineLevel="0" collapsed="false">
      <c r="A9" s="34" t="s">
        <v>157</v>
      </c>
      <c r="B9" s="34"/>
      <c r="C9" s="34"/>
      <c r="D9" s="34"/>
      <c r="E9" s="34"/>
      <c r="F9" s="34"/>
    </row>
    <row r="10" customFormat="false" ht="15" hidden="false" customHeight="false" outlineLevel="0" collapsed="false">
      <c r="A10" s="35" t="s">
        <v>158</v>
      </c>
      <c r="B10" s="35"/>
      <c r="C10" s="35"/>
      <c r="D10" s="35"/>
      <c r="E10" s="35"/>
      <c r="F10" s="35"/>
    </row>
    <row r="11" customFormat="false" ht="15" hidden="false" customHeight="false" outlineLevel="0" collapsed="false">
      <c r="A11" s="36" t="s">
        <v>159</v>
      </c>
      <c r="B11" s="36" t="s">
        <v>160</v>
      </c>
      <c r="C11" s="36" t="s">
        <v>132</v>
      </c>
    </row>
    <row r="12" customFormat="false" ht="15" hidden="false" customHeight="false" outlineLevel="0" collapsed="false">
      <c r="A12" s="3" t="n">
        <v>1</v>
      </c>
      <c r="B12" s="0" t="str">
        <f aca="false">Calc!A33</f>
        <v>A1</v>
      </c>
      <c r="C12" s="37" t="n">
        <f aca="false">Calc!B33</f>
        <v>-0</v>
      </c>
    </row>
    <row r="13" customFormat="false" ht="15" hidden="false" customHeight="false" outlineLevel="0" collapsed="false">
      <c r="A13" s="3" t="n">
        <v>2</v>
      </c>
      <c r="B13" s="0" t="str">
        <f aca="false">Calc!A34</f>
        <v>A1</v>
      </c>
      <c r="C13" s="37" t="n">
        <f aca="false">Calc!B34</f>
        <v>0</v>
      </c>
    </row>
    <row r="14" customFormat="false" ht="15" hidden="false" customHeight="false" outlineLevel="0" collapsed="false">
      <c r="A14" s="3" t="n">
        <v>3</v>
      </c>
      <c r="B14" s="0" t="str">
        <f aca="false">Calc!A35</f>
        <v>A1</v>
      </c>
      <c r="C14" s="37" t="n">
        <f aca="false">Calc!B35</f>
        <v>-0</v>
      </c>
    </row>
    <row r="16" customFormat="false" ht="15" hidden="false" customHeight="false" outlineLevel="0" collapsed="false">
      <c r="A16" s="38" t="s">
        <v>161</v>
      </c>
      <c r="B16" s="38"/>
      <c r="C16" s="38"/>
      <c r="D16" s="38"/>
      <c r="E16" s="38"/>
      <c r="F16" s="38"/>
    </row>
    <row r="17" customFormat="false" ht="15" hidden="false" customHeight="false" outlineLevel="0" collapsed="false">
      <c r="A17" s="35" t="s">
        <v>162</v>
      </c>
      <c r="B17" s="35"/>
      <c r="C17" s="35"/>
      <c r="D17" s="35"/>
      <c r="E17" s="35"/>
      <c r="F17" s="35"/>
    </row>
    <row r="18" customFormat="false" ht="15" hidden="false" customHeight="false" outlineLevel="0" collapsed="false">
      <c r="A18" s="39" t="s">
        <v>159</v>
      </c>
      <c r="B18" s="39" t="s">
        <v>160</v>
      </c>
      <c r="C18" s="39" t="s">
        <v>163</v>
      </c>
    </row>
    <row r="19" customFormat="false" ht="15" hidden="false" customHeight="false" outlineLevel="0" collapsed="false">
      <c r="A19" s="3" t="n">
        <v>1</v>
      </c>
      <c r="B19" s="0" t="str">
        <f aca="false">Calc!A38</f>
        <v>A1</v>
      </c>
      <c r="C19" s="37" t="n">
        <f aca="false">Calc!B38</f>
        <v>0</v>
      </c>
    </row>
    <row r="20" customFormat="false" ht="15" hidden="false" customHeight="false" outlineLevel="0" collapsed="false">
      <c r="A20" s="3" t="n">
        <v>2</v>
      </c>
      <c r="B20" s="0" t="str">
        <f aca="false">Calc!A39</f>
        <v>A1</v>
      </c>
      <c r="C20" s="37" t="n">
        <f aca="false">Calc!B39</f>
        <v>0</v>
      </c>
    </row>
    <row r="23" customFormat="false" ht="15" hidden="false" customHeight="false" outlineLevel="0" collapsed="false">
      <c r="A23" s="40" t="s">
        <v>164</v>
      </c>
      <c r="B23" s="40"/>
      <c r="C23" s="40"/>
      <c r="D23" s="40"/>
      <c r="E23" s="40"/>
      <c r="F23" s="40"/>
    </row>
    <row r="25" customFormat="false" ht="36" hidden="false" customHeight="true" outlineLevel="0" collapsed="false">
      <c r="A25" s="41" t="str">
        <f aca="false">IF(Scorer!B3&lt;=-1,"1. Map revenue-financing instruments (customer pre-payments, factoring, revenue-based financing) — Winborg &amp; Landström (2001).",IF(Scorer!B3&lt;=-0.2,"1. Set explicit traction milestones (MRR, retention) that would justify a future raise at higher valuation.",IF(Scorer!B3&lt;0.2,"1. Build two financial scenarios — bootstrapped path and seed-funded path — for the next 18 months and compare them.",IF(Scorer!B3&lt;1,"1. Identify 8–10 target investors aligned with your stage and sector. Begin relationships before formally raising.","1. Begin preparing the seed/Series-A round formally. Capital intensity, market timing, or competitive density makes raising unavoidable."))))</f>
        <v>1. Build two financial scenarios — bootstrapped path and seed-funded path — for the next 18 months and compare them.</v>
      </c>
      <c r="B25" s="41"/>
      <c r="C25" s="41"/>
      <c r="D25" s="41"/>
      <c r="E25" s="41"/>
      <c r="F25" s="41"/>
    </row>
    <row r="26" customFormat="false" ht="36" hidden="false" customHeight="true" outlineLevel="0" collapsed="false">
      <c r="A26" s="41" t="str">
        <f aca="false">IF(Scorer!B3&lt;=-1,"2. Apply for non-dilutive funding: national grants (IAPMEI, Portugal 2030), EIC Accelerator, Horizon Europe.",IF(Scorer!B3&lt;=-0.2,"2. Apply for non-dilutive grants in parallel — they extend runway without dilution.",IF(Scorer!B3&lt;0.2,"2. Identify the 2–3 factors that would tip your decision (e.g., a pivot in market timing, a new entrant). Track them.",IF(Scorer!B3&lt;1,"2. Stage the raise: pre-seed first to hit a milestone, seed after, rather than raising one large round.","2. Prioritise investor fit using Hellmann &amp; Puri (2002) value-add criteria — networks, hires, governance — not just term-sheet economics."))))</f>
        <v>2. Identify the 2–3 factors that would tip your decision (e.g., a pivot in market timing, a new entrant). Track them.</v>
      </c>
      <c r="B26" s="41"/>
      <c r="C26" s="41"/>
      <c r="D26" s="41"/>
      <c r="E26" s="41"/>
      <c r="F26" s="41"/>
    </row>
    <row r="27" customFormat="false" ht="36" hidden="false" customHeight="true" outlineLevel="0" collapsed="false">
      <c r="A27" s="41" t="str">
        <f aca="false">IF(Scorer!B3&lt;=-1,"3. Resist the temptation to raise out of FOMO. Re-run the SFDF every 6 months as the venture evolves.",IF(Scorer!B3&lt;=-0.2,"3. Begin informal investor relationships now, but do not pitch. Build the relationship before the raise.",IF(Scorer!B3&lt;0.2,"3. Speak with at least one founder who took each path before deciding.",IF(Scorer!B3&lt;1,"3. Speak with portfolio founders of your target investors — assess their actual value-add post-investment.","3. Negotiate governance terms carefully: board composition, protective provisions, vesting. Cite Kaplan &amp; Strömberg (2003) for benchmarks."))))</f>
        <v>3. Speak with at least one founder who took each path before deciding.</v>
      </c>
      <c r="B27" s="41"/>
      <c r="C27" s="41"/>
      <c r="D27" s="41"/>
      <c r="E27" s="41"/>
      <c r="F27" s="41"/>
    </row>
    <row r="28" customFormat="false" ht="36" hidden="false" customHeight="true" outlineLevel="0" collapsed="false">
      <c r="A28" s="41" t="str">
        <f aca="false">IF(Scorer!B3&lt;=-1,"4. If watch-outs surface (e.g., a competitor raises a large round), re-evaluate.",IF(Scorer!B3&lt;=-0.2,"4. Use this period to strengthen the founder team and reduce A3 (domain experience) risk if applicable.",IF(Scorer!B3&lt;0.2,"4. Consider revenue-based financing or a small angel round as a middle path.",IF(Scorer!B3&lt;1,"4. Set explicit dilution targets for each round (e.g., max 20% per round) before negotiation.","4. Plan for the next round at fundraising time: founders who raise must already model how Series A will look."))))</f>
        <v>4. Consider revenue-based financing or a small angel round as a middle path.</v>
      </c>
      <c r="B28" s="41"/>
      <c r="C28" s="41"/>
      <c r="D28" s="41"/>
      <c r="E28" s="41"/>
      <c r="F28" s="41"/>
    </row>
    <row r="30" customFormat="false" ht="15" hidden="false" customHeight="false" outlineLevel="0" collapsed="false">
      <c r="A30" s="11" t="s">
        <v>165</v>
      </c>
      <c r="B30" s="11"/>
      <c r="C30" s="11"/>
      <c r="D30" s="11"/>
      <c r="E30" s="11"/>
      <c r="F30" s="11"/>
    </row>
  </sheetData>
  <mergeCells count="14">
    <mergeCell ref="A1:F1"/>
    <mergeCell ref="A2:F2"/>
    <mergeCell ref="A5:F5"/>
    <mergeCell ref="D7:F7"/>
    <mergeCell ref="A9:F9"/>
    <mergeCell ref="A10:F10"/>
    <mergeCell ref="A16:F16"/>
    <mergeCell ref="A17:F17"/>
    <mergeCell ref="A23:F23"/>
    <mergeCell ref="A25:F25"/>
    <mergeCell ref="A26:F26"/>
    <mergeCell ref="A27:F27"/>
    <mergeCell ref="A28:F28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8"/>
  </cols>
  <sheetData>
    <row r="1" customFormat="false" ht="22.05" hidden="false" customHeight="false" outlineLevel="0" collapsed="false">
      <c r="A1" s="6" t="s">
        <v>166</v>
      </c>
      <c r="B1" s="6"/>
      <c r="C1" s="6"/>
      <c r="D1" s="6"/>
      <c r="E1" s="6"/>
    </row>
    <row r="2" customFormat="false" ht="15" hidden="false" customHeight="false" outlineLevel="0" collapsed="false">
      <c r="A2" s="30" t="s">
        <v>167</v>
      </c>
      <c r="B2" s="30"/>
      <c r="C2" s="30"/>
      <c r="D2" s="30"/>
      <c r="E2" s="30"/>
    </row>
    <row r="4" customFormat="false" ht="30" hidden="false" customHeight="true" outlineLevel="0" collapsed="false">
      <c r="A4" s="12" t="s">
        <v>53</v>
      </c>
      <c r="B4" s="12" t="s">
        <v>168</v>
      </c>
      <c r="C4" s="12" t="s">
        <v>169</v>
      </c>
      <c r="D4" s="12" t="s">
        <v>170</v>
      </c>
    </row>
    <row r="5" customFormat="false" ht="15" hidden="false" customHeight="false" outlineLevel="0" collapsed="false">
      <c r="A5" s="15" t="s">
        <v>171</v>
      </c>
      <c r="B5" s="42" t="n">
        <v>4</v>
      </c>
      <c r="C5" s="42" t="n">
        <v>3</v>
      </c>
      <c r="D5" s="42" t="n">
        <v>4</v>
      </c>
    </row>
    <row r="6" customFormat="false" ht="15" hidden="false" customHeight="false" outlineLevel="0" collapsed="false">
      <c r="A6" s="15" t="s">
        <v>172</v>
      </c>
      <c r="B6" s="42" t="n">
        <v>5</v>
      </c>
      <c r="C6" s="42" t="n">
        <v>2</v>
      </c>
      <c r="D6" s="42" t="n">
        <v>2</v>
      </c>
    </row>
    <row r="7" customFormat="false" ht="15" hidden="false" customHeight="false" outlineLevel="0" collapsed="false">
      <c r="A7" s="15" t="s">
        <v>173</v>
      </c>
      <c r="B7" s="42" t="n">
        <v>4</v>
      </c>
      <c r="C7" s="42" t="n">
        <v>4</v>
      </c>
      <c r="D7" s="42" t="n">
        <v>1</v>
      </c>
    </row>
    <row r="8" customFormat="false" ht="15" hidden="false" customHeight="false" outlineLevel="0" collapsed="false">
      <c r="A8" s="15" t="s">
        <v>174</v>
      </c>
      <c r="B8" s="42" t="n">
        <v>3</v>
      </c>
      <c r="C8" s="42" t="n">
        <v>1</v>
      </c>
      <c r="D8" s="42" t="n">
        <v>3</v>
      </c>
    </row>
    <row r="9" customFormat="false" ht="15" hidden="false" customHeight="false" outlineLevel="0" collapsed="false">
      <c r="A9" s="15" t="s">
        <v>175</v>
      </c>
      <c r="B9" s="42" t="n">
        <v>1</v>
      </c>
      <c r="C9" s="42" t="n">
        <v>5</v>
      </c>
      <c r="D9" s="42" t="n">
        <v>2</v>
      </c>
    </row>
    <row r="10" customFormat="false" ht="15" hidden="false" customHeight="false" outlineLevel="0" collapsed="false">
      <c r="A10" s="15" t="s">
        <v>176</v>
      </c>
      <c r="B10" s="42" t="n">
        <v>1</v>
      </c>
      <c r="C10" s="42" t="n">
        <v>5</v>
      </c>
      <c r="D10" s="42" t="n">
        <v>3</v>
      </c>
    </row>
    <row r="11" customFormat="false" ht="15" hidden="false" customHeight="false" outlineLevel="0" collapsed="false">
      <c r="A11" s="15" t="s">
        <v>177</v>
      </c>
      <c r="B11" s="42" t="n">
        <v>4</v>
      </c>
      <c r="C11" s="42" t="n">
        <v>1</v>
      </c>
      <c r="D11" s="42" t="n">
        <v>2</v>
      </c>
    </row>
    <row r="12" customFormat="false" ht="15" hidden="false" customHeight="false" outlineLevel="0" collapsed="false">
      <c r="A12" s="15" t="s">
        <v>178</v>
      </c>
      <c r="B12" s="42" t="n">
        <v>2</v>
      </c>
      <c r="C12" s="42" t="n">
        <v>5</v>
      </c>
      <c r="D12" s="42" t="n">
        <v>2</v>
      </c>
    </row>
    <row r="13" customFormat="false" ht="15" hidden="false" customHeight="false" outlineLevel="0" collapsed="false">
      <c r="A13" s="15" t="s">
        <v>179</v>
      </c>
      <c r="B13" s="42" t="n">
        <v>1</v>
      </c>
      <c r="C13" s="42" t="n">
        <v>5</v>
      </c>
      <c r="D13" s="42" t="n">
        <v>5</v>
      </c>
    </row>
    <row r="14" customFormat="false" ht="15" hidden="false" customHeight="false" outlineLevel="0" collapsed="false">
      <c r="A14" s="15" t="s">
        <v>180</v>
      </c>
      <c r="B14" s="42" t="n">
        <v>2</v>
      </c>
      <c r="C14" s="42" t="n">
        <v>5</v>
      </c>
      <c r="D14" s="42" t="n">
        <v>4</v>
      </c>
    </row>
    <row r="15" customFormat="false" ht="15" hidden="false" customHeight="false" outlineLevel="0" collapsed="false">
      <c r="A15" s="15" t="s">
        <v>181</v>
      </c>
      <c r="B15" s="42" t="n">
        <v>2</v>
      </c>
      <c r="C15" s="42" t="n">
        <v>3</v>
      </c>
      <c r="D15" s="42" t="n">
        <v>5</v>
      </c>
    </row>
    <row r="16" customFormat="false" ht="15" hidden="false" customHeight="false" outlineLevel="0" collapsed="false">
      <c r="A16" s="15" t="s">
        <v>182</v>
      </c>
      <c r="B16" s="42" t="n">
        <v>2</v>
      </c>
      <c r="C16" s="42" t="n">
        <v>4</v>
      </c>
      <c r="D16" s="42" t="n">
        <v>5</v>
      </c>
    </row>
    <row r="17" customFormat="false" ht="15" hidden="false" customHeight="false" outlineLevel="0" collapsed="false">
      <c r="A17" s="15" t="s">
        <v>183</v>
      </c>
      <c r="B17" s="42" t="n">
        <v>3</v>
      </c>
      <c r="C17" s="42" t="n">
        <v>5</v>
      </c>
      <c r="D17" s="42" t="n">
        <v>5</v>
      </c>
    </row>
    <row r="18" customFormat="false" ht="15" hidden="false" customHeight="false" outlineLevel="0" collapsed="false">
      <c r="A18" s="15" t="s">
        <v>184</v>
      </c>
      <c r="B18" s="42" t="n">
        <v>2</v>
      </c>
      <c r="C18" s="42" t="n">
        <v>5</v>
      </c>
      <c r="D18" s="42" t="n">
        <v>4</v>
      </c>
    </row>
    <row r="19" customFormat="false" ht="15" hidden="false" customHeight="false" outlineLevel="0" collapsed="false">
      <c r="A19" s="15" t="s">
        <v>185</v>
      </c>
      <c r="B19" s="42" t="n">
        <v>5</v>
      </c>
      <c r="C19" s="42" t="n">
        <v>1</v>
      </c>
      <c r="D19" s="42" t="n">
        <v>3</v>
      </c>
    </row>
    <row r="21" customFormat="false" ht="15" hidden="false" customHeight="false" outlineLevel="0" collapsed="false">
      <c r="A21" s="3" t="s">
        <v>186</v>
      </c>
      <c r="B21" s="43" t="s">
        <v>187</v>
      </c>
      <c r="C21" s="43" t="s">
        <v>188</v>
      </c>
      <c r="D21" s="43" t="s">
        <v>189</v>
      </c>
    </row>
    <row r="22" customFormat="false" ht="15" hidden="false" customHeight="false" outlineLevel="0" collapsed="false">
      <c r="A22" s="3" t="s">
        <v>190</v>
      </c>
      <c r="B22" s="44" t="s">
        <v>16</v>
      </c>
      <c r="C22" s="44" t="s">
        <v>24</v>
      </c>
      <c r="D22" s="44" t="s">
        <v>22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2026-04-28T23:52:46Z</dcterms:created>
  <dc:creator>openpyxl</dc:creator>
  <dc:description/>
  <dc:language>en-US</dc:language>
  <cp:lastModifiedBy/>
  <dcterms:modified xsi:type="dcterms:W3CDTF">2026-04-28T23:52:46Z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